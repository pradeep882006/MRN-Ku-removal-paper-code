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"/>
    </mc:Choice>
  </mc:AlternateContent>
  <xr:revisionPtr revIDLastSave="0" documentId="8_{3D1C898B-9613-4733-8457-66268151BB6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s_n (plotted)" sheetId="1" r:id="rId1"/>
    <sheet name="percent of Mock" sheetId="2" r:id="rId2"/>
    <sheet name="scaled (log2) raw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M20" i="1"/>
  <c r="J20" i="1"/>
  <c r="G20" i="1"/>
  <c r="P19" i="1"/>
  <c r="M19" i="1"/>
  <c r="J19" i="1"/>
  <c r="G19" i="1"/>
  <c r="P18" i="1"/>
  <c r="M18" i="1"/>
  <c r="J18" i="1"/>
  <c r="G18" i="1"/>
  <c r="P17" i="1"/>
  <c r="M17" i="1"/>
  <c r="J17" i="1"/>
  <c r="G17" i="1"/>
  <c r="P16" i="1"/>
  <c r="M16" i="1"/>
  <c r="J16" i="1"/>
  <c r="G16" i="1"/>
  <c r="P15" i="1"/>
  <c r="M15" i="1"/>
  <c r="J15" i="1"/>
  <c r="G15" i="1"/>
  <c r="P14" i="1"/>
  <c r="M14" i="1"/>
  <c r="J14" i="1"/>
  <c r="G14" i="1"/>
  <c r="P13" i="1"/>
  <c r="M13" i="1"/>
  <c r="J13" i="1"/>
  <c r="G13" i="1"/>
  <c r="P12" i="1"/>
  <c r="M12" i="1"/>
  <c r="J12" i="1"/>
  <c r="G12" i="1"/>
  <c r="P11" i="1"/>
  <c r="M11" i="1"/>
  <c r="J11" i="1"/>
  <c r="G11" i="1"/>
  <c r="P10" i="1"/>
  <c r="M10" i="1"/>
  <c r="J10" i="1"/>
  <c r="G10" i="1"/>
  <c r="P9" i="1"/>
  <c r="M9" i="1"/>
  <c r="J9" i="1"/>
  <c r="G9" i="1"/>
  <c r="P8" i="1"/>
  <c r="M8" i="1"/>
  <c r="J8" i="1"/>
  <c r="G8" i="1"/>
  <c r="P7" i="1"/>
  <c r="M7" i="1"/>
  <c r="J7" i="1"/>
  <c r="G7" i="1"/>
  <c r="P6" i="1"/>
  <c r="M6" i="1"/>
  <c r="J6" i="1"/>
  <c r="G6" i="1"/>
</calcChain>
</file>

<file path=xl/sharedStrings.xml><?xml version="1.0" encoding="utf-8"?>
<sst xmlns="http://schemas.openxmlformats.org/spreadsheetml/2006/main" count="173" uniqueCount="98">
  <si>
    <t>DDR protein abundance — TMT sums/n values (used to plot the figures)</t>
  </si>
  <si>
    <t>Two technical replicates per condition. Bar in figure = mean of the two; points = individual replicates.</t>
  </si>
  <si>
    <t>Mock</t>
  </si>
  <si>
    <t>delMre11-A (YW)</t>
  </si>
  <si>
    <t>delMre11-B (GS)</t>
  </si>
  <si>
    <t>delCtIP</t>
  </si>
  <si>
    <t>Gene symbol</t>
  </si>
  <si>
    <t>Protein ID</t>
  </si>
  <si>
    <t># peptides</t>
  </si>
  <si>
    <t>Rep 1</t>
  </si>
  <si>
    <t>Rep 2</t>
  </si>
  <si>
    <t>Mean</t>
  </si>
  <si>
    <t>Mre11</t>
  </si>
  <si>
    <t>mre11</t>
  </si>
  <si>
    <t>sp|Q9W6K1|MRE11_XENLA</t>
  </si>
  <si>
    <t>Nbn (NBS1)</t>
  </si>
  <si>
    <t>nbn.L</t>
  </si>
  <si>
    <t>tr|Q6XV80|Q6XV80_XENLA</t>
  </si>
  <si>
    <t>Rad50</t>
  </si>
  <si>
    <t>rad50.L</t>
  </si>
  <si>
    <t>tr|A0A1L8GXM0|A0A1L8GXM0_XENLA</t>
  </si>
  <si>
    <t>CtIP (RBBP8)</t>
  </si>
  <si>
    <t>rbbp8</t>
  </si>
  <si>
    <t>sp|Q6GNV6|CTIP_XENLA</t>
  </si>
  <si>
    <t>Exo1</t>
  </si>
  <si>
    <t>exo1</t>
  </si>
  <si>
    <t>sp|Q9W6K2|EXO1_XENLA</t>
  </si>
  <si>
    <t>Dna2</t>
  </si>
  <si>
    <t>dna2</t>
  </si>
  <si>
    <t>sp|Q8QHA5|DNA2_XENLA</t>
  </si>
  <si>
    <t>WRN</t>
  </si>
  <si>
    <t>wrn</t>
  </si>
  <si>
    <t>sp|O93530|WRN_XENLA</t>
  </si>
  <si>
    <t>Xrcc5 (Ku80)</t>
  </si>
  <si>
    <t>xrcc5.L</t>
  </si>
  <si>
    <t>tr|A0A8J0TQQ5|A0A8J0TQQ5_XENLA</t>
  </si>
  <si>
    <t>Xrcc6 (Ku70)</t>
  </si>
  <si>
    <t>xrcc6.L</t>
  </si>
  <si>
    <t>tr|Q6AZR6|Q6AZR6_XENLA</t>
  </si>
  <si>
    <t>DNA-PKcs (PRKDC)</t>
  </si>
  <si>
    <t>prkdc</t>
  </si>
  <si>
    <t>sp|Q9DEI1|PRKDC_XENLA</t>
  </si>
  <si>
    <t>BRCA1</t>
  </si>
  <si>
    <t>brca1.L</t>
  </si>
  <si>
    <t>tr|Q90X96|Q90X96_XENLA</t>
  </si>
  <si>
    <t>53BP1 (TP53BP1.L)</t>
  </si>
  <si>
    <t>tp53bp1.L</t>
  </si>
  <si>
    <t>tr|A0A1L8H0P7|A0A1L8H0P7_XENLA</t>
  </si>
  <si>
    <t>H2AX</t>
  </si>
  <si>
    <t>h2ax</t>
  </si>
  <si>
    <t>sp|Q6GM86|H2AX_XENLA</t>
  </si>
  <si>
    <t>ATM</t>
  </si>
  <si>
    <t>atm.L</t>
  </si>
  <si>
    <t>tr|A0A8J1M717|A0A8J1M717_XENLA</t>
  </si>
  <si>
    <t>ATR</t>
  </si>
  <si>
    <t>atr</t>
  </si>
  <si>
    <t>sp|Q9DE14|ATR_XENLA</t>
  </si>
  <si>
    <t>DDR protein levels as % of Mock (mean of replicates)</t>
  </si>
  <si>
    <t>Each condition mean ÷ Mock mean × 100. This is the normalized view of the same data.</t>
  </si>
  <si>
    <t>Protein</t>
  </si>
  <si>
    <t>Gene</t>
  </si>
  <si>
    <t>Mock %</t>
  </si>
  <si>
    <t>delMre11-A (YW) %</t>
  </si>
  <si>
    <t>delMre11-B (GS) %</t>
  </si>
  <si>
    <t>delCtIP %</t>
  </si>
  <si>
    <t>Alternative normalization: TMT scaled (log2) reporter values — both replicates</t>
  </si>
  <si>
    <t>Provided for completeness; figures were plotted from the sums/n values on sheet 1.</t>
  </si>
  <si>
    <t>Mock_1</t>
  </si>
  <si>
    <t>Mock_2</t>
  </si>
  <si>
    <t>YW_1</t>
  </si>
  <si>
    <t>YW_2</t>
  </si>
  <si>
    <t>GS_1</t>
  </si>
  <si>
    <t>GS_2</t>
  </si>
  <si>
    <t>CtIP_1</t>
  </si>
  <si>
    <t>CtIP_2</t>
  </si>
  <si>
    <t>Dataset notes &amp; provenance</t>
  </si>
  <si>
    <t>Source data</t>
  </si>
  <si>
    <t>File</t>
  </si>
  <si>
    <t>Pradeep_Sample_info_form_Proteomics.xlsx — sheet 'protein_quant_243'</t>
  </si>
  <si>
    <t>Quantitation</t>
  </si>
  <si>
    <t>TMT-labeled quantitative mass spectrometry; 'sums/n' = summed, normalized TMT reporter intensity</t>
  </si>
  <si>
    <t>Replicates</t>
  </si>
  <si>
    <t>Two technical replicates per condition (Rep 1, Rep 2)</t>
  </si>
  <si>
    <t>Conditions</t>
  </si>
  <si>
    <t>Mock-depleted control extract</t>
  </si>
  <si>
    <t>Mre11-depleted using the YW antibody</t>
  </si>
  <si>
    <t>Mre11-depleted using the GenScript antibody</t>
  </si>
  <si>
    <t>CtIP-depleted extract</t>
  </si>
  <si>
    <t>Plotting</t>
  </si>
  <si>
    <t>Bar</t>
  </si>
  <si>
    <t>Mean of the two technical replicates</t>
  </si>
  <si>
    <t>Points</t>
  </si>
  <si>
    <t>The two individual replicate values (no error bars — n=2 technical replicates)</t>
  </si>
  <si>
    <t>Note on Rad50</t>
  </si>
  <si>
    <t>The major rad50.L entry (141 peptides) is used. Earlier figure drafts used slightly</t>
  </si>
  <si>
    <t>approximated Rad50 replicate values; this file carries the authentic source values.</t>
  </si>
  <si>
    <t>Note on Xrcc5</t>
  </si>
  <si>
    <t>Ku80/xrcc5.L was detected with only 1 peptide — treat its absolute values with caution.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</si>
</sst>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6B7280"/>
      </patternFill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F9731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3" fillId="5" borderId="1" xfId="0" applyFont="1" applyFill="1" applyBorder="1" applyAlignment="1">
      <alignment horizontal="center" vertical="center"/>
    </xf>
    <xf numFmtId="0" fontId="0" fillId="0" borderId="0" xfId="0"/>
    <xf numFmtId="0" fontId="0" fillId="2" borderId="1" xfId="0" applyFill="1" applyBorder="1"/>
    <xf numFmtId="0" fontId="0" fillId="0" borderId="2" xfId="0" applyBorder="1"/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pane xSplit="4" ySplit="5" topLeftCell="E6" activePane="bottomRight" state="frozen"/>
      <selection pane="topRight"/>
      <selection pane="bottomLeft"/>
      <selection pane="bottomRight" activeCell="G30" sqref="G30"/>
    </sheetView>
  </sheetViews>
  <sheetFormatPr defaultRowHeight="14.5" x14ac:dyDescent="0.35"/>
  <cols>
    <col min="1" max="1" width="20" customWidth="1"/>
    <col min="2" max="2" width="13" customWidth="1"/>
    <col min="3" max="3" width="30" customWidth="1"/>
    <col min="4" max="4" width="10" customWidth="1"/>
    <col min="5" max="16" width="11" customWidth="1"/>
  </cols>
  <sheetData>
    <row r="1" spans="1:16" ht="17" x14ac:dyDescent="0.4">
      <c r="A1" s="1" t="s">
        <v>0</v>
      </c>
    </row>
    <row r="2" spans="1:16" x14ac:dyDescent="0.35">
      <c r="A2" s="2" t="s">
        <v>1</v>
      </c>
    </row>
    <row r="4" spans="1:16" x14ac:dyDescent="0.35">
      <c r="A4" s="17"/>
      <c r="B4" s="3"/>
      <c r="C4" s="3"/>
      <c r="D4" s="3"/>
      <c r="E4" s="20" t="s">
        <v>2</v>
      </c>
      <c r="F4" s="16"/>
      <c r="G4" s="16"/>
      <c r="H4" s="19" t="s">
        <v>3</v>
      </c>
      <c r="I4" s="16"/>
      <c r="J4" s="16"/>
      <c r="K4" s="15" t="s">
        <v>4</v>
      </c>
      <c r="L4" s="16"/>
      <c r="M4" s="16"/>
      <c r="N4" s="21" t="s">
        <v>5</v>
      </c>
      <c r="O4" s="16"/>
      <c r="P4" s="16"/>
    </row>
    <row r="5" spans="1:16" x14ac:dyDescent="0.35">
      <c r="A5" s="18"/>
      <c r="B5" s="8" t="s">
        <v>6</v>
      </c>
      <c r="C5" s="8" t="s">
        <v>7</v>
      </c>
      <c r="D5" s="8" t="s">
        <v>8</v>
      </c>
      <c r="E5" s="4" t="s">
        <v>9</v>
      </c>
      <c r="F5" s="4" t="s">
        <v>10</v>
      </c>
      <c r="G5" s="4" t="s">
        <v>11</v>
      </c>
      <c r="H5" s="5" t="s">
        <v>9</v>
      </c>
      <c r="I5" s="5" t="s">
        <v>10</v>
      </c>
      <c r="J5" s="5" t="s">
        <v>11</v>
      </c>
      <c r="K5" s="6" t="s">
        <v>9</v>
      </c>
      <c r="L5" s="6" t="s">
        <v>10</v>
      </c>
      <c r="M5" s="6" t="s">
        <v>11</v>
      </c>
      <c r="N5" s="7" t="s">
        <v>9</v>
      </c>
      <c r="O5" s="7" t="s">
        <v>10</v>
      </c>
      <c r="P5" s="7" t="s">
        <v>11</v>
      </c>
    </row>
    <row r="6" spans="1:16" x14ac:dyDescent="0.35">
      <c r="A6" s="9" t="s">
        <v>12</v>
      </c>
      <c r="B6" s="9" t="s">
        <v>13</v>
      </c>
      <c r="C6" s="9" t="s">
        <v>14</v>
      </c>
      <c r="D6" s="10">
        <v>74</v>
      </c>
      <c r="E6" s="10">
        <v>40625.5</v>
      </c>
      <c r="F6" s="10">
        <v>43931.7</v>
      </c>
      <c r="G6" s="11">
        <f t="shared" ref="G6:G20" si="0">AVERAGE(E6:F6)</f>
        <v>42278.6</v>
      </c>
      <c r="H6" s="10">
        <v>494.87</v>
      </c>
      <c r="I6" s="10">
        <v>452.62</v>
      </c>
      <c r="J6" s="11">
        <f t="shared" ref="J6:J20" si="1">AVERAGE(H6:I6)</f>
        <v>473.745</v>
      </c>
      <c r="K6" s="10">
        <v>3751.04</v>
      </c>
      <c r="L6" s="10">
        <v>3545.43</v>
      </c>
      <c r="M6" s="11">
        <f t="shared" ref="M6:M20" si="2">AVERAGE(K6:L6)</f>
        <v>3648.2349999999997</v>
      </c>
      <c r="N6" s="10">
        <v>41681.1</v>
      </c>
      <c r="O6" s="10">
        <v>44241.1</v>
      </c>
      <c r="P6" s="11">
        <f t="shared" ref="P6:P20" si="3">AVERAGE(N6:O6)</f>
        <v>42961.1</v>
      </c>
    </row>
    <row r="7" spans="1:16" x14ac:dyDescent="0.35">
      <c r="A7" s="9" t="s">
        <v>15</v>
      </c>
      <c r="B7" s="9" t="s">
        <v>16</v>
      </c>
      <c r="C7" s="9" t="s">
        <v>17</v>
      </c>
      <c r="D7" s="10">
        <v>71</v>
      </c>
      <c r="E7" s="10">
        <v>41628.6</v>
      </c>
      <c r="F7" s="10">
        <v>41898.199999999997</v>
      </c>
      <c r="G7" s="11">
        <f t="shared" si="0"/>
        <v>41763.399999999994</v>
      </c>
      <c r="H7" s="10">
        <v>8758.0400000000009</v>
      </c>
      <c r="I7" s="10">
        <v>8918.3799999999992</v>
      </c>
      <c r="J7" s="11">
        <f t="shared" si="1"/>
        <v>8838.2099999999991</v>
      </c>
      <c r="K7" s="10">
        <v>12863.3</v>
      </c>
      <c r="L7" s="10">
        <v>12666.6</v>
      </c>
      <c r="M7" s="11">
        <f t="shared" si="2"/>
        <v>12764.95</v>
      </c>
      <c r="N7" s="10">
        <v>41865.699999999997</v>
      </c>
      <c r="O7" s="10">
        <v>43083.8</v>
      </c>
      <c r="P7" s="11">
        <f t="shared" si="3"/>
        <v>42474.75</v>
      </c>
    </row>
    <row r="8" spans="1:16" x14ac:dyDescent="0.35">
      <c r="A8" s="9" t="s">
        <v>18</v>
      </c>
      <c r="B8" s="9" t="s">
        <v>19</v>
      </c>
      <c r="C8" s="9" t="s">
        <v>20</v>
      </c>
      <c r="D8" s="10">
        <v>141</v>
      </c>
      <c r="E8" s="10">
        <v>100152</v>
      </c>
      <c r="F8" s="10">
        <v>98505</v>
      </c>
      <c r="G8" s="11">
        <f t="shared" si="0"/>
        <v>99328.5</v>
      </c>
      <c r="H8" s="10">
        <v>14701.1</v>
      </c>
      <c r="I8" s="10">
        <v>14618.6</v>
      </c>
      <c r="J8" s="11">
        <f t="shared" si="1"/>
        <v>14659.85</v>
      </c>
      <c r="K8" s="10">
        <v>9298.3799999999992</v>
      </c>
      <c r="L8" s="10">
        <v>8515.84</v>
      </c>
      <c r="M8" s="11">
        <f t="shared" si="2"/>
        <v>8907.11</v>
      </c>
      <c r="N8" s="10">
        <v>101853</v>
      </c>
      <c r="O8" s="10">
        <v>94945.5</v>
      </c>
      <c r="P8" s="11">
        <f t="shared" si="3"/>
        <v>98399.25</v>
      </c>
    </row>
    <row r="9" spans="1:16" x14ac:dyDescent="0.35">
      <c r="A9" s="9" t="s">
        <v>21</v>
      </c>
      <c r="B9" s="9" t="s">
        <v>22</v>
      </c>
      <c r="C9" s="9" t="s">
        <v>23</v>
      </c>
      <c r="D9" s="10">
        <v>57</v>
      </c>
      <c r="E9" s="10">
        <v>41636.5</v>
      </c>
      <c r="F9" s="10">
        <v>41758.6</v>
      </c>
      <c r="G9" s="11">
        <f t="shared" si="0"/>
        <v>41697.550000000003</v>
      </c>
      <c r="H9" s="10">
        <v>2320.94</v>
      </c>
      <c r="I9" s="10">
        <v>2337.86</v>
      </c>
      <c r="J9" s="11">
        <f t="shared" si="1"/>
        <v>2329.4</v>
      </c>
      <c r="K9" s="10">
        <v>42786</v>
      </c>
      <c r="L9" s="10">
        <v>43063.7</v>
      </c>
      <c r="M9" s="11">
        <f t="shared" si="2"/>
        <v>42924.85</v>
      </c>
      <c r="N9" s="10">
        <v>366.68</v>
      </c>
      <c r="O9" s="10">
        <v>236.18</v>
      </c>
      <c r="P9" s="11">
        <f t="shared" si="3"/>
        <v>301.43</v>
      </c>
    </row>
    <row r="10" spans="1:16" x14ac:dyDescent="0.35">
      <c r="A10" s="9" t="s">
        <v>24</v>
      </c>
      <c r="B10" s="9" t="s">
        <v>25</v>
      </c>
      <c r="C10" s="9" t="s">
        <v>26</v>
      </c>
      <c r="D10" s="10">
        <v>86</v>
      </c>
      <c r="E10" s="10">
        <v>33185.800000000003</v>
      </c>
      <c r="F10" s="10">
        <v>34028</v>
      </c>
      <c r="G10" s="11">
        <f t="shared" si="0"/>
        <v>33606.9</v>
      </c>
      <c r="H10" s="10">
        <v>29665.7</v>
      </c>
      <c r="I10" s="10">
        <v>29626.5</v>
      </c>
      <c r="J10" s="11">
        <f t="shared" si="1"/>
        <v>29646.1</v>
      </c>
      <c r="K10" s="10">
        <v>33759.699999999997</v>
      </c>
      <c r="L10" s="10">
        <v>34222.400000000001</v>
      </c>
      <c r="M10" s="11">
        <f t="shared" si="2"/>
        <v>33991.050000000003</v>
      </c>
      <c r="N10" s="10">
        <v>32022.799999999999</v>
      </c>
      <c r="O10" s="10">
        <v>30991.200000000001</v>
      </c>
      <c r="P10" s="11">
        <f t="shared" si="3"/>
        <v>31507</v>
      </c>
    </row>
    <row r="11" spans="1:16" x14ac:dyDescent="0.35">
      <c r="A11" s="9" t="s">
        <v>27</v>
      </c>
      <c r="B11" s="9" t="s">
        <v>28</v>
      </c>
      <c r="C11" s="9" t="s">
        <v>29</v>
      </c>
      <c r="D11" s="10">
        <v>156</v>
      </c>
      <c r="E11" s="10">
        <v>53595.5</v>
      </c>
      <c r="F11" s="10">
        <v>51923.7</v>
      </c>
      <c r="G11" s="11">
        <f t="shared" si="0"/>
        <v>52759.6</v>
      </c>
      <c r="H11" s="10">
        <v>53880.3</v>
      </c>
      <c r="I11" s="10">
        <v>53503</v>
      </c>
      <c r="J11" s="11">
        <f t="shared" si="1"/>
        <v>53691.65</v>
      </c>
      <c r="K11" s="10">
        <v>53577.599999999999</v>
      </c>
      <c r="L11" s="10">
        <v>52450.3</v>
      </c>
      <c r="M11" s="11">
        <f t="shared" si="2"/>
        <v>53013.95</v>
      </c>
      <c r="N11" s="10">
        <v>54128.5</v>
      </c>
      <c r="O11" s="10">
        <v>53140.3</v>
      </c>
      <c r="P11" s="11">
        <f t="shared" si="3"/>
        <v>53634.400000000001</v>
      </c>
    </row>
    <row r="12" spans="1:16" x14ac:dyDescent="0.35">
      <c r="A12" s="9" t="s">
        <v>30</v>
      </c>
      <c r="B12" s="9" t="s">
        <v>31</v>
      </c>
      <c r="C12" s="9" t="s">
        <v>32</v>
      </c>
      <c r="D12" s="10">
        <v>165</v>
      </c>
      <c r="E12" s="10">
        <v>70744.399999999994</v>
      </c>
      <c r="F12" s="10">
        <v>68179.600000000006</v>
      </c>
      <c r="G12" s="11">
        <f t="shared" si="0"/>
        <v>69462</v>
      </c>
      <c r="H12" s="10">
        <v>71372.899999999994</v>
      </c>
      <c r="I12" s="10">
        <v>71451.199999999997</v>
      </c>
      <c r="J12" s="11">
        <f t="shared" si="1"/>
        <v>71412.049999999988</v>
      </c>
      <c r="K12" s="10">
        <v>65964.3</v>
      </c>
      <c r="L12" s="10">
        <v>65593.2</v>
      </c>
      <c r="M12" s="11">
        <f t="shared" si="2"/>
        <v>65778.75</v>
      </c>
      <c r="N12" s="10">
        <v>70433.100000000006</v>
      </c>
      <c r="O12" s="10">
        <v>70453.5</v>
      </c>
      <c r="P12" s="11">
        <f t="shared" si="3"/>
        <v>70443.3</v>
      </c>
    </row>
    <row r="13" spans="1:16" x14ac:dyDescent="0.35">
      <c r="A13" s="9" t="s">
        <v>33</v>
      </c>
      <c r="B13" s="9" t="s">
        <v>34</v>
      </c>
      <c r="C13" s="9" t="s">
        <v>35</v>
      </c>
      <c r="D13" s="10">
        <v>1</v>
      </c>
      <c r="E13" s="10">
        <v>510.09</v>
      </c>
      <c r="F13" s="10">
        <v>513.49</v>
      </c>
      <c r="G13" s="11">
        <f t="shared" si="0"/>
        <v>511.78999999999996</v>
      </c>
      <c r="H13" s="10">
        <v>565.35</v>
      </c>
      <c r="I13" s="10">
        <v>495.44</v>
      </c>
      <c r="J13" s="11">
        <f t="shared" si="1"/>
        <v>530.39499999999998</v>
      </c>
      <c r="K13" s="10">
        <v>550.19000000000005</v>
      </c>
      <c r="L13" s="10">
        <v>577.53</v>
      </c>
      <c r="M13" s="11">
        <f t="shared" si="2"/>
        <v>563.86</v>
      </c>
      <c r="N13" s="10">
        <v>496.8</v>
      </c>
      <c r="O13" s="10">
        <v>444.11</v>
      </c>
      <c r="P13" s="11">
        <f t="shared" si="3"/>
        <v>470.45500000000004</v>
      </c>
    </row>
    <row r="14" spans="1:16" x14ac:dyDescent="0.35">
      <c r="A14" s="9" t="s">
        <v>36</v>
      </c>
      <c r="B14" s="9" t="s">
        <v>37</v>
      </c>
      <c r="C14" s="9" t="s">
        <v>38</v>
      </c>
      <c r="D14" s="10">
        <v>232</v>
      </c>
      <c r="E14" s="10">
        <v>87230.8</v>
      </c>
      <c r="F14" s="10">
        <v>89445.3</v>
      </c>
      <c r="G14" s="11">
        <f t="shared" si="0"/>
        <v>88338.05</v>
      </c>
      <c r="H14" s="10">
        <v>90868.7</v>
      </c>
      <c r="I14" s="10">
        <v>91739.7</v>
      </c>
      <c r="J14" s="11">
        <f t="shared" si="1"/>
        <v>91304.2</v>
      </c>
      <c r="K14" s="10">
        <v>85634.3</v>
      </c>
      <c r="L14" s="10">
        <v>84174</v>
      </c>
      <c r="M14" s="11">
        <f t="shared" si="2"/>
        <v>84904.15</v>
      </c>
      <c r="N14" s="10">
        <v>89943.1</v>
      </c>
      <c r="O14" s="10">
        <v>86830.9</v>
      </c>
      <c r="P14" s="11">
        <f t="shared" si="3"/>
        <v>88387</v>
      </c>
    </row>
    <row r="15" spans="1:16" x14ac:dyDescent="0.35">
      <c r="A15" s="9" t="s">
        <v>39</v>
      </c>
      <c r="B15" s="9" t="s">
        <v>40</v>
      </c>
      <c r="C15" s="9" t="s">
        <v>41</v>
      </c>
      <c r="D15" s="10">
        <v>429</v>
      </c>
      <c r="E15" s="10">
        <v>149076</v>
      </c>
      <c r="F15" s="10">
        <v>145408</v>
      </c>
      <c r="G15" s="11">
        <f t="shared" si="0"/>
        <v>147242</v>
      </c>
      <c r="H15" s="10">
        <v>152229</v>
      </c>
      <c r="I15" s="10">
        <v>154346</v>
      </c>
      <c r="J15" s="11">
        <f t="shared" si="1"/>
        <v>153287.5</v>
      </c>
      <c r="K15" s="10">
        <v>147081</v>
      </c>
      <c r="L15" s="10">
        <v>147264</v>
      </c>
      <c r="M15" s="11">
        <f t="shared" si="2"/>
        <v>147172.5</v>
      </c>
      <c r="N15" s="10">
        <v>150918</v>
      </c>
      <c r="O15" s="10">
        <v>150749</v>
      </c>
      <c r="P15" s="11">
        <f t="shared" si="3"/>
        <v>150833.5</v>
      </c>
    </row>
    <row r="16" spans="1:16" x14ac:dyDescent="0.35">
      <c r="A16" s="9" t="s">
        <v>42</v>
      </c>
      <c r="B16" s="9" t="s">
        <v>43</v>
      </c>
      <c r="C16" s="9" t="s">
        <v>44</v>
      </c>
      <c r="D16" s="10">
        <v>42</v>
      </c>
      <c r="E16" s="10">
        <v>13942.1</v>
      </c>
      <c r="F16" s="10">
        <v>13413.9</v>
      </c>
      <c r="G16" s="11">
        <f t="shared" si="0"/>
        <v>13678</v>
      </c>
      <c r="H16" s="10">
        <v>10348.9</v>
      </c>
      <c r="I16" s="10">
        <v>10202.4</v>
      </c>
      <c r="J16" s="11">
        <f t="shared" si="1"/>
        <v>10275.65</v>
      </c>
      <c r="K16" s="10">
        <v>13804.8</v>
      </c>
      <c r="L16" s="10">
        <v>13717.6</v>
      </c>
      <c r="M16" s="11">
        <f t="shared" si="2"/>
        <v>13761.2</v>
      </c>
      <c r="N16" s="10">
        <v>13509</v>
      </c>
      <c r="O16" s="10">
        <v>13207.2</v>
      </c>
      <c r="P16" s="11">
        <f t="shared" si="3"/>
        <v>13358.1</v>
      </c>
    </row>
    <row r="17" spans="1:16" x14ac:dyDescent="0.35">
      <c r="A17" s="9" t="s">
        <v>45</v>
      </c>
      <c r="B17" s="9" t="s">
        <v>46</v>
      </c>
      <c r="C17" s="9" t="s">
        <v>47</v>
      </c>
      <c r="D17" s="10">
        <v>89</v>
      </c>
      <c r="E17" s="10">
        <v>30919.200000000001</v>
      </c>
      <c r="F17" s="10">
        <v>29475.4</v>
      </c>
      <c r="G17" s="11">
        <f t="shared" si="0"/>
        <v>30197.300000000003</v>
      </c>
      <c r="H17" s="10">
        <v>32183.5</v>
      </c>
      <c r="I17" s="10">
        <v>31298.9</v>
      </c>
      <c r="J17" s="11">
        <f t="shared" si="1"/>
        <v>31741.200000000001</v>
      </c>
      <c r="K17" s="10">
        <v>31524.799999999999</v>
      </c>
      <c r="L17" s="10">
        <v>30836.7</v>
      </c>
      <c r="M17" s="11">
        <f t="shared" si="2"/>
        <v>31180.75</v>
      </c>
      <c r="N17" s="10">
        <v>31589.8</v>
      </c>
      <c r="O17" s="10">
        <v>30780.2</v>
      </c>
      <c r="P17" s="11">
        <f t="shared" si="3"/>
        <v>31185</v>
      </c>
    </row>
    <row r="18" spans="1:16" x14ac:dyDescent="0.35">
      <c r="A18" s="9" t="s">
        <v>48</v>
      </c>
      <c r="B18" s="9" t="s">
        <v>49</v>
      </c>
      <c r="C18" s="9" t="s">
        <v>50</v>
      </c>
      <c r="D18" s="10">
        <v>22</v>
      </c>
      <c r="E18" s="10">
        <v>8444.48</v>
      </c>
      <c r="F18" s="10">
        <v>7552.61</v>
      </c>
      <c r="G18" s="11">
        <f t="shared" si="0"/>
        <v>7998.5450000000001</v>
      </c>
      <c r="H18" s="10">
        <v>8062.39</v>
      </c>
      <c r="I18" s="10">
        <v>7112.02</v>
      </c>
      <c r="J18" s="11">
        <f t="shared" si="1"/>
        <v>7587.2049999999999</v>
      </c>
      <c r="K18" s="10">
        <v>7945.05</v>
      </c>
      <c r="L18" s="10">
        <v>7029.91</v>
      </c>
      <c r="M18" s="11">
        <f t="shared" si="2"/>
        <v>7487.48</v>
      </c>
      <c r="N18" s="10">
        <v>8039.45</v>
      </c>
      <c r="O18" s="10">
        <v>7220.92</v>
      </c>
      <c r="P18" s="11">
        <f t="shared" si="3"/>
        <v>7630.1849999999995</v>
      </c>
    </row>
    <row r="19" spans="1:16" x14ac:dyDescent="0.35">
      <c r="A19" s="9" t="s">
        <v>51</v>
      </c>
      <c r="B19" s="9" t="s">
        <v>52</v>
      </c>
      <c r="C19" s="9" t="s">
        <v>53</v>
      </c>
      <c r="D19" s="10">
        <v>11</v>
      </c>
      <c r="E19" s="10">
        <v>2402.56</v>
      </c>
      <c r="F19" s="10">
        <v>2254.79</v>
      </c>
      <c r="G19" s="11">
        <f t="shared" si="0"/>
        <v>2328.6750000000002</v>
      </c>
      <c r="H19" s="10">
        <v>2324.15</v>
      </c>
      <c r="I19" s="10">
        <v>2389.77</v>
      </c>
      <c r="J19" s="11">
        <f t="shared" si="1"/>
        <v>2356.96</v>
      </c>
      <c r="K19" s="10">
        <v>2445.17</v>
      </c>
      <c r="L19" s="10">
        <v>2406.96</v>
      </c>
      <c r="M19" s="11">
        <f t="shared" si="2"/>
        <v>2426.0650000000001</v>
      </c>
      <c r="N19" s="10">
        <v>2525.27</v>
      </c>
      <c r="O19" s="10">
        <v>2492.65</v>
      </c>
      <c r="P19" s="11">
        <f t="shared" si="3"/>
        <v>2508.96</v>
      </c>
    </row>
    <row r="20" spans="1:16" x14ac:dyDescent="0.35">
      <c r="A20" s="9" t="s">
        <v>54</v>
      </c>
      <c r="B20" s="9" t="s">
        <v>55</v>
      </c>
      <c r="C20" s="9" t="s">
        <v>56</v>
      </c>
      <c r="D20" s="10">
        <v>196</v>
      </c>
      <c r="E20" s="10">
        <v>64739.199999999997</v>
      </c>
      <c r="F20" s="10">
        <v>65274.6</v>
      </c>
      <c r="G20" s="11">
        <f t="shared" si="0"/>
        <v>65006.899999999994</v>
      </c>
      <c r="H20" s="10">
        <v>62240.3</v>
      </c>
      <c r="I20" s="10">
        <v>64689.4</v>
      </c>
      <c r="J20" s="11">
        <f t="shared" si="1"/>
        <v>63464.850000000006</v>
      </c>
      <c r="K20" s="10">
        <v>66317.899999999994</v>
      </c>
      <c r="L20" s="10">
        <v>66926.899999999994</v>
      </c>
      <c r="M20" s="11">
        <f t="shared" si="2"/>
        <v>66622.399999999994</v>
      </c>
      <c r="N20" s="10">
        <v>64567</v>
      </c>
      <c r="O20" s="10">
        <v>65262</v>
      </c>
      <c r="P20" s="11">
        <f t="shared" si="3"/>
        <v>64914.5</v>
      </c>
    </row>
  </sheetData>
  <mergeCells count="5">
    <mergeCell ref="K4:M4"/>
    <mergeCell ref="A4:A5"/>
    <mergeCell ref="H4:J4"/>
    <mergeCell ref="E4:G4"/>
    <mergeCell ref="N4:P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0" customWidth="1"/>
    <col min="2" max="2" width="13" customWidth="1"/>
    <col min="3" max="6" width="18" customWidth="1"/>
  </cols>
  <sheetData>
    <row r="1" spans="1:6" ht="17" x14ac:dyDescent="0.4">
      <c r="A1" s="1" t="s">
        <v>57</v>
      </c>
    </row>
    <row r="2" spans="1:6" x14ac:dyDescent="0.35">
      <c r="A2" s="2" t="s">
        <v>58</v>
      </c>
    </row>
    <row r="4" spans="1:6" x14ac:dyDescent="0.35">
      <c r="A4" s="8" t="s">
        <v>59</v>
      </c>
      <c r="B4" s="8" t="s">
        <v>60</v>
      </c>
      <c r="C4" s="8" t="s">
        <v>61</v>
      </c>
      <c r="D4" s="8" t="s">
        <v>62</v>
      </c>
      <c r="E4" s="8" t="s">
        <v>63</v>
      </c>
      <c r="F4" s="8" t="s">
        <v>64</v>
      </c>
    </row>
    <row r="5" spans="1:6" x14ac:dyDescent="0.35">
      <c r="A5" s="9" t="s">
        <v>12</v>
      </c>
      <c r="B5" s="9" t="s">
        <v>13</v>
      </c>
      <c r="C5" s="10">
        <v>100</v>
      </c>
      <c r="D5" s="10">
        <v>1.1000000000000001</v>
      </c>
      <c r="E5" s="10">
        <v>8.6</v>
      </c>
      <c r="F5" s="10">
        <v>101.6</v>
      </c>
    </row>
    <row r="6" spans="1:6" x14ac:dyDescent="0.35">
      <c r="A6" s="9" t="s">
        <v>15</v>
      </c>
      <c r="B6" s="9" t="s">
        <v>16</v>
      </c>
      <c r="C6" s="10">
        <v>100</v>
      </c>
      <c r="D6" s="10">
        <v>21.2</v>
      </c>
      <c r="E6" s="10">
        <v>30.6</v>
      </c>
      <c r="F6" s="10">
        <v>101.7</v>
      </c>
    </row>
    <row r="7" spans="1:6" x14ac:dyDescent="0.35">
      <c r="A7" s="9" t="s">
        <v>18</v>
      </c>
      <c r="B7" s="9" t="s">
        <v>19</v>
      </c>
      <c r="C7" s="10">
        <v>100</v>
      </c>
      <c r="D7" s="10">
        <v>14.8</v>
      </c>
      <c r="E7" s="10">
        <v>9</v>
      </c>
      <c r="F7" s="10">
        <v>99.1</v>
      </c>
    </row>
    <row r="8" spans="1:6" x14ac:dyDescent="0.35">
      <c r="A8" s="9" t="s">
        <v>21</v>
      </c>
      <c r="B8" s="9" t="s">
        <v>22</v>
      </c>
      <c r="C8" s="10">
        <v>100</v>
      </c>
      <c r="D8" s="10">
        <v>5.6</v>
      </c>
      <c r="E8" s="10">
        <v>102.9</v>
      </c>
      <c r="F8" s="10">
        <v>0.7</v>
      </c>
    </row>
    <row r="9" spans="1:6" x14ac:dyDescent="0.35">
      <c r="A9" s="9" t="s">
        <v>24</v>
      </c>
      <c r="B9" s="9" t="s">
        <v>25</v>
      </c>
      <c r="C9" s="10">
        <v>100</v>
      </c>
      <c r="D9" s="10">
        <v>88.2</v>
      </c>
      <c r="E9" s="10">
        <v>101.1</v>
      </c>
      <c r="F9" s="10">
        <v>93.8</v>
      </c>
    </row>
    <row r="10" spans="1:6" x14ac:dyDescent="0.35">
      <c r="A10" s="9" t="s">
        <v>27</v>
      </c>
      <c r="B10" s="9" t="s">
        <v>28</v>
      </c>
      <c r="C10" s="10">
        <v>100</v>
      </c>
      <c r="D10" s="10">
        <v>101.8</v>
      </c>
      <c r="E10" s="10">
        <v>100.5</v>
      </c>
      <c r="F10" s="10">
        <v>101.7</v>
      </c>
    </row>
    <row r="11" spans="1:6" x14ac:dyDescent="0.35">
      <c r="A11" s="9" t="s">
        <v>30</v>
      </c>
      <c r="B11" s="9" t="s">
        <v>31</v>
      </c>
      <c r="C11" s="10">
        <v>100</v>
      </c>
      <c r="D11" s="10">
        <v>102.8</v>
      </c>
      <c r="E11" s="10">
        <v>94.7</v>
      </c>
      <c r="F11" s="10">
        <v>101.4</v>
      </c>
    </row>
    <row r="12" spans="1:6" x14ac:dyDescent="0.35">
      <c r="A12" s="9" t="s">
        <v>33</v>
      </c>
      <c r="B12" s="9" t="s">
        <v>34</v>
      </c>
      <c r="C12" s="10">
        <v>100</v>
      </c>
      <c r="D12" s="10">
        <v>103.6</v>
      </c>
      <c r="E12" s="10">
        <v>110.2</v>
      </c>
      <c r="F12" s="10">
        <v>91.9</v>
      </c>
    </row>
    <row r="13" spans="1:6" x14ac:dyDescent="0.35">
      <c r="A13" s="9" t="s">
        <v>36</v>
      </c>
      <c r="B13" s="9" t="s">
        <v>37</v>
      </c>
      <c r="C13" s="10">
        <v>100</v>
      </c>
      <c r="D13" s="10">
        <v>103.4</v>
      </c>
      <c r="E13" s="10">
        <v>96.1</v>
      </c>
      <c r="F13" s="10">
        <v>100.1</v>
      </c>
    </row>
    <row r="14" spans="1:6" x14ac:dyDescent="0.35">
      <c r="A14" s="9" t="s">
        <v>39</v>
      </c>
      <c r="B14" s="9" t="s">
        <v>40</v>
      </c>
      <c r="C14" s="10">
        <v>100</v>
      </c>
      <c r="D14" s="10">
        <v>104.1</v>
      </c>
      <c r="E14" s="10">
        <v>100</v>
      </c>
      <c r="F14" s="10">
        <v>102.4</v>
      </c>
    </row>
    <row r="15" spans="1:6" x14ac:dyDescent="0.35">
      <c r="A15" s="9" t="s">
        <v>42</v>
      </c>
      <c r="B15" s="9" t="s">
        <v>43</v>
      </c>
      <c r="C15" s="10">
        <v>100</v>
      </c>
      <c r="D15" s="10">
        <v>75.099999999999994</v>
      </c>
      <c r="E15" s="10">
        <v>100.6</v>
      </c>
      <c r="F15" s="10">
        <v>97.7</v>
      </c>
    </row>
    <row r="16" spans="1:6" x14ac:dyDescent="0.35">
      <c r="A16" s="9" t="s">
        <v>45</v>
      </c>
      <c r="B16" s="9" t="s">
        <v>46</v>
      </c>
      <c r="C16" s="10">
        <v>100</v>
      </c>
      <c r="D16" s="10">
        <v>105.1</v>
      </c>
      <c r="E16" s="10">
        <v>103.3</v>
      </c>
      <c r="F16" s="10">
        <v>103.3</v>
      </c>
    </row>
    <row r="17" spans="1:6" x14ac:dyDescent="0.35">
      <c r="A17" s="9" t="s">
        <v>48</v>
      </c>
      <c r="B17" s="9" t="s">
        <v>49</v>
      </c>
      <c r="C17" s="10">
        <v>100</v>
      </c>
      <c r="D17" s="10">
        <v>94.9</v>
      </c>
      <c r="E17" s="10">
        <v>93.6</v>
      </c>
      <c r="F17" s="10">
        <v>95.4</v>
      </c>
    </row>
    <row r="18" spans="1:6" x14ac:dyDescent="0.35">
      <c r="A18" s="9" t="s">
        <v>51</v>
      </c>
      <c r="B18" s="9" t="s">
        <v>52</v>
      </c>
      <c r="C18" s="10">
        <v>100</v>
      </c>
      <c r="D18" s="10">
        <v>101.2</v>
      </c>
      <c r="E18" s="10">
        <v>104.2</v>
      </c>
      <c r="F18" s="10">
        <v>107.7</v>
      </c>
    </row>
    <row r="19" spans="1:6" x14ac:dyDescent="0.35">
      <c r="A19" s="9" t="s">
        <v>54</v>
      </c>
      <c r="B19" s="9" t="s">
        <v>55</v>
      </c>
      <c r="C19" s="10">
        <v>100</v>
      </c>
      <c r="D19" s="10">
        <v>97.6</v>
      </c>
      <c r="E19" s="10">
        <v>102.5</v>
      </c>
      <c r="F19" s="10">
        <v>99.9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0" customWidth="1"/>
    <col min="2" max="2" width="13" customWidth="1"/>
    <col min="3" max="10" width="11" customWidth="1"/>
  </cols>
  <sheetData>
    <row r="1" spans="1:10" ht="17" x14ac:dyDescent="0.4">
      <c r="A1" s="1" t="s">
        <v>65</v>
      </c>
    </row>
    <row r="2" spans="1:10" x14ac:dyDescent="0.35">
      <c r="A2" s="2" t="s">
        <v>66</v>
      </c>
    </row>
    <row r="4" spans="1:10" x14ac:dyDescent="0.35">
      <c r="A4" s="8" t="s">
        <v>59</v>
      </c>
      <c r="B4" s="8" t="s">
        <v>60</v>
      </c>
      <c r="C4" s="8" t="s">
        <v>67</v>
      </c>
      <c r="D4" s="8" t="s">
        <v>68</v>
      </c>
      <c r="E4" s="8" t="s">
        <v>69</v>
      </c>
      <c r="F4" s="8" t="s">
        <v>70</v>
      </c>
      <c r="G4" s="8" t="s">
        <v>71</v>
      </c>
      <c r="H4" s="8" t="s">
        <v>72</v>
      </c>
      <c r="I4" s="8" t="s">
        <v>73</v>
      </c>
      <c r="J4" s="8" t="s">
        <v>74</v>
      </c>
    </row>
    <row r="5" spans="1:10" x14ac:dyDescent="0.35">
      <c r="A5" s="9" t="s">
        <v>12</v>
      </c>
      <c r="B5" s="9" t="s">
        <v>13</v>
      </c>
      <c r="C5" s="10">
        <v>22.730899999999998</v>
      </c>
      <c r="D5" s="10">
        <v>24.5808</v>
      </c>
      <c r="E5" s="10">
        <v>0.27689999999999998</v>
      </c>
      <c r="F5" s="10">
        <v>0.25330000000000003</v>
      </c>
      <c r="G5" s="10">
        <v>2.0988000000000002</v>
      </c>
      <c r="H5" s="10">
        <v>1.9837</v>
      </c>
      <c r="I5" s="10">
        <v>23.3216</v>
      </c>
      <c r="J5" s="10">
        <v>24.754000000000001</v>
      </c>
    </row>
    <row r="6" spans="1:10" x14ac:dyDescent="0.35">
      <c r="A6" s="9" t="s">
        <v>15</v>
      </c>
      <c r="B6" s="9" t="s">
        <v>16</v>
      </c>
      <c r="C6" s="10">
        <v>19.665600000000001</v>
      </c>
      <c r="D6" s="10">
        <v>19.792899999999999</v>
      </c>
      <c r="E6" s="10">
        <v>4.1372999999999998</v>
      </c>
      <c r="F6" s="10">
        <v>4.2130999999999998</v>
      </c>
      <c r="G6" s="10">
        <v>6.0766999999999998</v>
      </c>
      <c r="H6" s="10">
        <v>5.9837999999999996</v>
      </c>
      <c r="I6" s="10">
        <v>19.7776</v>
      </c>
      <c r="J6" s="10">
        <v>20.353000000000002</v>
      </c>
    </row>
    <row r="7" spans="1:10" x14ac:dyDescent="0.35">
      <c r="A7" s="9" t="s">
        <v>18</v>
      </c>
      <c r="B7" s="9" t="s">
        <v>19</v>
      </c>
      <c r="C7" s="10">
        <v>22.628699999999998</v>
      </c>
      <c r="D7" s="10">
        <v>22.256499999999999</v>
      </c>
      <c r="E7" s="10">
        <v>3.3216000000000001</v>
      </c>
      <c r="F7" s="10">
        <v>3.3029999999999999</v>
      </c>
      <c r="G7" s="10">
        <v>2.1009000000000002</v>
      </c>
      <c r="H7" s="10">
        <v>1.9240999999999999</v>
      </c>
      <c r="I7" s="10">
        <v>23.013000000000002</v>
      </c>
      <c r="J7" s="10">
        <v>21.452300000000001</v>
      </c>
    </row>
    <row r="8" spans="1:10" x14ac:dyDescent="0.35">
      <c r="A8" s="9" t="s">
        <v>21</v>
      </c>
      <c r="B8" s="9" t="s">
        <v>22</v>
      </c>
      <c r="C8" s="10">
        <v>23.8596</v>
      </c>
      <c r="D8" s="10">
        <v>23.929500000000001</v>
      </c>
      <c r="E8" s="10">
        <v>1.33</v>
      </c>
      <c r="F8" s="10">
        <v>1.3396999999999999</v>
      </c>
      <c r="G8" s="10">
        <v>24.5183</v>
      </c>
      <c r="H8" s="10">
        <v>24.677499999999998</v>
      </c>
      <c r="I8" s="10">
        <v>0.21010000000000001</v>
      </c>
      <c r="J8" s="10">
        <v>0.1353</v>
      </c>
    </row>
    <row r="9" spans="1:10" x14ac:dyDescent="0.35">
      <c r="A9" s="9" t="s">
        <v>24</v>
      </c>
      <c r="B9" s="9" t="s">
        <v>25</v>
      </c>
      <c r="C9" s="10">
        <v>12.887600000000001</v>
      </c>
      <c r="D9" s="10">
        <v>13.214600000000001</v>
      </c>
      <c r="E9" s="10">
        <v>11.5206</v>
      </c>
      <c r="F9" s="10">
        <v>11.5054</v>
      </c>
      <c r="G9" s="10">
        <v>13.1105</v>
      </c>
      <c r="H9" s="10">
        <v>13.290100000000001</v>
      </c>
      <c r="I9" s="10">
        <v>12.4359</v>
      </c>
      <c r="J9" s="10">
        <v>12.035299999999999</v>
      </c>
    </row>
    <row r="10" spans="1:10" x14ac:dyDescent="0.35">
      <c r="A10" s="9" t="s">
        <v>27</v>
      </c>
      <c r="B10" s="9" t="s">
        <v>28</v>
      </c>
      <c r="C10" s="10">
        <v>12.575200000000001</v>
      </c>
      <c r="D10" s="10">
        <v>12.183</v>
      </c>
      <c r="E10" s="10">
        <v>12.641999999999999</v>
      </c>
      <c r="F10" s="10">
        <v>12.5535</v>
      </c>
      <c r="G10" s="10">
        <v>12.571</v>
      </c>
      <c r="H10" s="10">
        <v>12.3065</v>
      </c>
      <c r="I10" s="10">
        <v>12.7003</v>
      </c>
      <c r="J10" s="10">
        <v>12.468400000000001</v>
      </c>
    </row>
    <row r="11" spans="1:10" x14ac:dyDescent="0.35">
      <c r="A11" s="9" t="s">
        <v>30</v>
      </c>
      <c r="B11" s="9" t="s">
        <v>31</v>
      </c>
      <c r="C11" s="10">
        <v>12.7653</v>
      </c>
      <c r="D11" s="10">
        <v>12.3025</v>
      </c>
      <c r="E11" s="10">
        <v>12.8787</v>
      </c>
      <c r="F11" s="10">
        <v>12.892899999999999</v>
      </c>
      <c r="G11" s="10">
        <v>11.902799999999999</v>
      </c>
      <c r="H11" s="10">
        <v>11.835800000000001</v>
      </c>
      <c r="I11" s="10">
        <v>12.709099999999999</v>
      </c>
      <c r="J11" s="10">
        <v>12.7128</v>
      </c>
    </row>
    <row r="12" spans="1:10" x14ac:dyDescent="0.35">
      <c r="A12" s="9" t="s">
        <v>33</v>
      </c>
      <c r="B12" s="9" t="s">
        <v>34</v>
      </c>
      <c r="C12" s="10">
        <v>12.282500000000001</v>
      </c>
      <c r="D12" s="10">
        <v>12.3643</v>
      </c>
      <c r="E12" s="10">
        <v>13.613099999999999</v>
      </c>
      <c r="F12" s="10">
        <v>11.9297</v>
      </c>
      <c r="G12" s="10">
        <v>13.2479</v>
      </c>
      <c r="H12" s="10">
        <v>13.9064</v>
      </c>
      <c r="I12" s="10">
        <v>11.962400000000001</v>
      </c>
      <c r="J12" s="10">
        <v>10.6936</v>
      </c>
    </row>
    <row r="13" spans="1:10" x14ac:dyDescent="0.35">
      <c r="A13" s="9" t="s">
        <v>36</v>
      </c>
      <c r="B13" s="9" t="s">
        <v>37</v>
      </c>
      <c r="C13" s="10">
        <v>12.358000000000001</v>
      </c>
      <c r="D13" s="10">
        <v>12.6717</v>
      </c>
      <c r="E13" s="10">
        <v>12.8734</v>
      </c>
      <c r="F13" s="10">
        <v>12.996700000000001</v>
      </c>
      <c r="G13" s="10">
        <v>12.1318</v>
      </c>
      <c r="H13" s="10">
        <v>11.924899999999999</v>
      </c>
      <c r="I13" s="10">
        <v>12.7422</v>
      </c>
      <c r="J13" s="10">
        <v>12.301299999999999</v>
      </c>
    </row>
    <row r="14" spans="1:10" x14ac:dyDescent="0.35">
      <c r="A14" s="9" t="s">
        <v>39</v>
      </c>
      <c r="B14" s="9" t="s">
        <v>40</v>
      </c>
      <c r="C14" s="10">
        <v>12.4534</v>
      </c>
      <c r="D14" s="10">
        <v>12.147</v>
      </c>
      <c r="E14" s="10">
        <v>12.716799999999999</v>
      </c>
      <c r="F14" s="10">
        <v>12.893700000000001</v>
      </c>
      <c r="G14" s="10">
        <v>12.2867</v>
      </c>
      <c r="H14" s="10">
        <v>12.302099999999999</v>
      </c>
      <c r="I14" s="10">
        <v>12.607200000000001</v>
      </c>
      <c r="J14" s="10">
        <v>12.5931</v>
      </c>
    </row>
    <row r="15" spans="1:10" x14ac:dyDescent="0.35">
      <c r="A15" s="9" t="s">
        <v>42</v>
      </c>
      <c r="B15" s="9" t="s">
        <v>43</v>
      </c>
      <c r="C15" s="10">
        <v>13.6492</v>
      </c>
      <c r="D15" s="10">
        <v>13.132099999999999</v>
      </c>
      <c r="E15" s="10">
        <v>10.131500000000001</v>
      </c>
      <c r="F15" s="10">
        <v>9.9880999999999993</v>
      </c>
      <c r="G15" s="10">
        <v>13.514799999999999</v>
      </c>
      <c r="H15" s="10">
        <v>13.429399999999999</v>
      </c>
      <c r="I15" s="10">
        <v>13.225199999999999</v>
      </c>
      <c r="J15" s="10">
        <v>12.9297</v>
      </c>
    </row>
    <row r="16" spans="1:10" x14ac:dyDescent="0.35">
      <c r="A16" s="9" t="s">
        <v>45</v>
      </c>
      <c r="B16" s="9" t="s">
        <v>46</v>
      </c>
      <c r="C16" s="10">
        <v>12.4369</v>
      </c>
      <c r="D16" s="10">
        <v>11.856199999999999</v>
      </c>
      <c r="E16" s="10">
        <v>12.945399999999999</v>
      </c>
      <c r="F16" s="10">
        <v>12.589700000000001</v>
      </c>
      <c r="G16" s="10">
        <v>12.6805</v>
      </c>
      <c r="H16" s="10">
        <v>12.403700000000001</v>
      </c>
      <c r="I16" s="10">
        <v>12.7067</v>
      </c>
      <c r="J16" s="10">
        <v>12.381</v>
      </c>
    </row>
    <row r="17" spans="1:10" x14ac:dyDescent="0.35">
      <c r="A17" s="9" t="s">
        <v>48</v>
      </c>
      <c r="B17" s="9" t="s">
        <v>49</v>
      </c>
      <c r="C17" s="10">
        <v>13.7517</v>
      </c>
      <c r="D17" s="10">
        <v>12.299300000000001</v>
      </c>
      <c r="E17" s="10">
        <v>13.1295</v>
      </c>
      <c r="F17" s="10">
        <v>11.581799999999999</v>
      </c>
      <c r="G17" s="10">
        <v>12.9384</v>
      </c>
      <c r="H17" s="10">
        <v>11.4481</v>
      </c>
      <c r="I17" s="10">
        <v>13.0921</v>
      </c>
      <c r="J17" s="10">
        <v>11.7591</v>
      </c>
    </row>
    <row r="18" spans="1:10" x14ac:dyDescent="0.35">
      <c r="A18" s="9" t="s">
        <v>51</v>
      </c>
      <c r="B18" s="9" t="s">
        <v>52</v>
      </c>
      <c r="C18" s="10">
        <v>12.486499999999999</v>
      </c>
      <c r="D18" s="10">
        <v>11.718500000000001</v>
      </c>
      <c r="E18" s="10">
        <v>12.079000000000001</v>
      </c>
      <c r="F18" s="10">
        <v>12.42</v>
      </c>
      <c r="G18" s="10">
        <v>12.7079</v>
      </c>
      <c r="H18" s="10">
        <v>12.5093</v>
      </c>
      <c r="I18" s="10">
        <v>13.1242</v>
      </c>
      <c r="J18" s="10">
        <v>12.954700000000001</v>
      </c>
    </row>
    <row r="19" spans="1:10" x14ac:dyDescent="0.35">
      <c r="A19" s="9" t="s">
        <v>54</v>
      </c>
      <c r="B19" s="9" t="s">
        <v>55</v>
      </c>
      <c r="C19" s="10">
        <v>12.449400000000001</v>
      </c>
      <c r="D19" s="10">
        <v>12.5524</v>
      </c>
      <c r="E19" s="10">
        <v>11.9689</v>
      </c>
      <c r="F19" s="10">
        <v>12.4399</v>
      </c>
      <c r="G19" s="10">
        <v>12.753</v>
      </c>
      <c r="H19" s="10">
        <v>12.870100000000001</v>
      </c>
      <c r="I19" s="10">
        <v>12.4163</v>
      </c>
      <c r="J19" s="10">
        <v>12.55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defaultRowHeight="14.5" x14ac:dyDescent="0.35"/>
  <cols>
    <col min="1" max="1" width="22" customWidth="1"/>
    <col min="2" max="2" width="85" customWidth="1"/>
  </cols>
  <sheetData>
    <row r="1" spans="1:2" ht="17" x14ac:dyDescent="0.4">
      <c r="A1" s="1" t="s">
        <v>75</v>
      </c>
    </row>
    <row r="3" spans="1:2" x14ac:dyDescent="0.35">
      <c r="A3" s="12" t="s">
        <v>76</v>
      </c>
    </row>
    <row r="4" spans="1:2" x14ac:dyDescent="0.35">
      <c r="A4" s="13" t="s">
        <v>77</v>
      </c>
      <c r="B4" t="s">
        <v>78</v>
      </c>
    </row>
    <row r="5" spans="1:2" x14ac:dyDescent="0.35">
      <c r="A5" s="13" t="s">
        <v>79</v>
      </c>
      <c r="B5" t="s">
        <v>80</v>
      </c>
    </row>
    <row r="6" spans="1:2" x14ac:dyDescent="0.35">
      <c r="A6" s="13" t="s">
        <v>81</v>
      </c>
      <c r="B6" t="s">
        <v>82</v>
      </c>
    </row>
    <row r="7" spans="1:2" x14ac:dyDescent="0.35">
      <c r="A7" s="14"/>
    </row>
    <row r="8" spans="1:2" x14ac:dyDescent="0.35">
      <c r="A8" s="12" t="s">
        <v>83</v>
      </c>
    </row>
    <row r="9" spans="1:2" x14ac:dyDescent="0.35">
      <c r="A9" s="13" t="s">
        <v>2</v>
      </c>
      <c r="B9" t="s">
        <v>84</v>
      </c>
    </row>
    <row r="10" spans="1:2" x14ac:dyDescent="0.35">
      <c r="A10" s="13" t="s">
        <v>3</v>
      </c>
      <c r="B10" t="s">
        <v>85</v>
      </c>
    </row>
    <row r="11" spans="1:2" x14ac:dyDescent="0.35">
      <c r="A11" s="13" t="s">
        <v>4</v>
      </c>
      <c r="B11" t="s">
        <v>86</v>
      </c>
    </row>
    <row r="12" spans="1:2" x14ac:dyDescent="0.35">
      <c r="A12" s="13" t="s">
        <v>5</v>
      </c>
      <c r="B12" t="s">
        <v>87</v>
      </c>
    </row>
    <row r="13" spans="1:2" x14ac:dyDescent="0.35">
      <c r="A13" s="14"/>
    </row>
    <row r="14" spans="1:2" x14ac:dyDescent="0.35">
      <c r="A14" s="12" t="s">
        <v>88</v>
      </c>
    </row>
    <row r="15" spans="1:2" x14ac:dyDescent="0.35">
      <c r="A15" s="13" t="s">
        <v>89</v>
      </c>
      <c r="B15" t="s">
        <v>90</v>
      </c>
    </row>
    <row r="16" spans="1:2" x14ac:dyDescent="0.35">
      <c r="A16" s="13" t="s">
        <v>91</v>
      </c>
      <c r="B16" t="s">
        <v>92</v>
      </c>
    </row>
    <row r="17" spans="1:2" x14ac:dyDescent="0.35">
      <c r="A17" s="14"/>
    </row>
    <row r="18" spans="1:2" x14ac:dyDescent="0.35">
      <c r="A18" s="13" t="s">
        <v>93</v>
      </c>
      <c r="B18" t="s">
        <v>94</v>
      </c>
    </row>
    <row r="19" spans="1:2" x14ac:dyDescent="0.35">
      <c r="A19" s="14"/>
      <c r="B19" t="s">
        <v>95</v>
      </c>
    </row>
    <row r="20" spans="1:2" x14ac:dyDescent="0.35">
      <c r="A20" s="13" t="s">
        <v>96</v>
      </c>
      <c r="B20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sums_n (plotted)</vt:lpstr>
      <vt:lpstr>percent of Mock</vt:lpstr>
      <vt:lpstr>scaled (log2) raw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2026-10-04T17:51:48Z</dcterms:created>
  <dcterms:modified xsi:type="dcterms:W3CDTF">2026-10-04T17:55:25Z</dcterms:modified>
</cp:coreProperties>
</file>